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8154edb15b4426/Documents/"/>
    </mc:Choice>
  </mc:AlternateContent>
  <xr:revisionPtr revIDLastSave="11" documentId="8_{01C59D73-60B9-4E93-A0EA-3A881DA75932}" xr6:coauthVersionLast="47" xr6:coauthVersionMax="47" xr10:uidLastSave="{118CB190-68B8-4168-B81D-4C063752488A}"/>
  <bookViews>
    <workbookView xWindow="-108" yWindow="-108" windowWidth="23256" windowHeight="12456" xr2:uid="{3CE77AD9-1966-43E7-9549-C7D7C06C1B0A}"/>
  </bookViews>
  <sheets>
    <sheet name="employees_raw" sheetId="2" r:id="rId1"/>
    <sheet name="job_mapping" sheetId="3" r:id="rId2"/>
    <sheet name="market_bands" sheetId="4" r:id="rId3"/>
  </sheets>
  <definedNames>
    <definedName name="ExternalData_1" localSheetId="0" hidden="1">employees_raw!$A$1:$G$11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 s="1"/>
  <c r="L4" i="2" s="1"/>
  <c r="L6" i="2" s="1"/>
  <c r="H2" i="2"/>
  <c r="I2" i="2" s="1"/>
  <c r="J2" i="2" s="1"/>
  <c r="H3" i="2"/>
  <c r="I3" i="2" s="1"/>
  <c r="J3" i="2" s="1"/>
  <c r="H4" i="2"/>
  <c r="I4" i="2" s="1"/>
  <c r="J4" i="2" s="1"/>
  <c r="H5" i="2"/>
  <c r="I5" i="2" s="1"/>
  <c r="J5" i="2" s="1"/>
  <c r="H6" i="2"/>
  <c r="I6" i="2" s="1"/>
  <c r="J6" i="2" s="1"/>
  <c r="H7" i="2"/>
  <c r="I7" i="2" s="1"/>
  <c r="J7" i="2" s="1"/>
  <c r="H8" i="2"/>
  <c r="I8" i="2" s="1"/>
  <c r="J8" i="2" s="1"/>
  <c r="H9" i="2"/>
  <c r="I9" i="2" s="1"/>
  <c r="J9" i="2" s="1"/>
  <c r="H10" i="2"/>
  <c r="I10" i="2" s="1"/>
  <c r="J10" i="2" s="1"/>
  <c r="H11" i="2"/>
  <c r="I11" i="2" s="1"/>
  <c r="J1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ACFEA-3BB4-4F28-88D4-9ED5E9DC9B4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<sst xmlns="http://schemas.openxmlformats.org/spreadsheetml/2006/main" count="85" uniqueCount="60">
  <si>
    <t>Employee_ID</t>
  </si>
  <si>
    <t>Full_Name</t>
  </si>
  <si>
    <t>Department</t>
  </si>
  <si>
    <t>Job_Title</t>
  </si>
  <si>
    <t>Hire_Date</t>
  </si>
  <si>
    <t>Base_Salary_USD</t>
  </si>
  <si>
    <t>Performance_Rating</t>
  </si>
  <si>
    <t>EMP001</t>
  </si>
  <si>
    <t>Sarah Connor</t>
  </si>
  <si>
    <t>Engineering</t>
  </si>
  <si>
    <t>Senior Software Engineer</t>
  </si>
  <si>
    <t>1/15/2021</t>
  </si>
  <si>
    <t>EMP002</t>
  </si>
  <si>
    <t>Marcus Johnson</t>
  </si>
  <si>
    <t>Sales</t>
  </si>
  <si>
    <t>EMP003</t>
  </si>
  <si>
    <t>Emily Chen</t>
  </si>
  <si>
    <t>Operations</t>
  </si>
  <si>
    <t>EMP004</t>
  </si>
  <si>
    <t>David Miller</t>
  </si>
  <si>
    <t>Software Engineer</t>
  </si>
  <si>
    <t>8/22/2023</t>
  </si>
  <si>
    <t>EMP005</t>
  </si>
  <si>
    <t>Sophia Patel</t>
  </si>
  <si>
    <t>HR</t>
  </si>
  <si>
    <t>HR Manager</t>
  </si>
  <si>
    <t>2/14/2020</t>
  </si>
  <si>
    <t>EMP006</t>
  </si>
  <si>
    <t>James Wilson</t>
  </si>
  <si>
    <t>Sales Director</t>
  </si>
  <si>
    <t>EMP007</t>
  </si>
  <si>
    <t>Chloe Davis</t>
  </si>
  <si>
    <t>EMP008</t>
  </si>
  <si>
    <t>Robert Taylor</t>
  </si>
  <si>
    <t>Operations Manager</t>
  </si>
  <si>
    <t>5/18/2021</t>
  </si>
  <si>
    <t>EMP009</t>
  </si>
  <si>
    <t>Mia Anderson</t>
  </si>
  <si>
    <t>HR Generalist</t>
  </si>
  <si>
    <t>9/30/2022</t>
  </si>
  <si>
    <t>EMP010</t>
  </si>
  <si>
    <t>William Thomas</t>
  </si>
  <si>
    <t>Account Executive</t>
  </si>
  <si>
    <t>Operations Analyst</t>
  </si>
  <si>
    <t>G4</t>
  </si>
  <si>
    <t>G3</t>
  </si>
  <si>
    <t>G2</t>
  </si>
  <si>
    <t>G1</t>
  </si>
  <si>
    <t>Pay_Grade</t>
  </si>
  <si>
    <t>Official_Job_Title</t>
  </si>
  <si>
    <t>Band_Maximum</t>
  </si>
  <si>
    <t>Market_Median</t>
  </si>
  <si>
    <t>Band_Minimum</t>
  </si>
  <si>
    <t>Pay Grade</t>
  </si>
  <si>
    <t>Market Median</t>
  </si>
  <si>
    <t>Compa-Ratio</t>
  </si>
  <si>
    <t>Proposed Increase %</t>
  </si>
  <si>
    <t>Current Total Payroll</t>
  </si>
  <si>
    <t>Projected Total Payroll</t>
  </si>
  <si>
    <t>Total Cost to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</si>
</sst>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10" fontId="0" fillId="0" borderId="0" xfId="0" applyNumberFormat="1"/>
    <xf numFmtId="9" fontId="0" fillId="0" borderId="0" xfId="0" applyNumberFormat="1"/>
    <xf numFmtId="0" fontId="0" fillId="3" borderId="0" xfId="0" applyFill="1"/>
    <xf numFmtId="164" fontId="0" fillId="3" borderId="0" xfId="0" applyNumberFormat="1" applyFill="1"/>
    <xf numFmtId="9" fontId="0" fillId="3" borderId="0" xfId="0" applyNumberFormat="1" applyFill="1"/>
  </cellXfs>
  <cellStyles count="1">
    <cellStyle name="Normal" xfId="0" builtinId="0"/>
  </cellStyles>
  <dxfs count="7">
    <dxf>
      <numFmt numFmtId="14" formatCode="0.00%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CB876B-A767-4166-ADB7-0E6BC1A1CAA6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Employee_ID" tableColumnId="1"/>
      <queryTableField id="2" name="Full_Name" tableColumnId="2"/>
      <queryTableField id="3" name="Department" tableColumnId="3"/>
      <queryTableField id="4" name="Job_Title" tableColumnId="4"/>
      <queryTableField id="5" name="Hire_Date" tableColumnId="5"/>
      <queryTableField id="6" name="Base_Salary_USD" tableColumnId="6"/>
      <queryTableField id="7" name="Performance_Rating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9B066-0482-4BD7-B185-D7D0ECBE7609}" name="Sheet1" displayName="Sheet1" ref="A1:J11" tableType="queryTable" totalsRowShown="0">
  <autoFilter ref="A1:J11" xr:uid="{6169B066-0482-4BD7-B185-D7D0ECBE7609}"/>
  <tableColumns count="10">
    <tableColumn id="1" xr3:uid="{48D3B46B-601D-431A-B33F-F340AA9E7ABA}" uniqueName="1" name="Employee_ID" queryTableFieldId="1" dataDxfId="6"/>
    <tableColumn id="2" xr3:uid="{7668DE32-EFF4-4828-B5F5-AE585BF9C2D3}" uniqueName="2" name="Full_Name" queryTableFieldId="2" dataDxfId="5"/>
    <tableColumn id="3" xr3:uid="{44234C7B-0C81-4A54-80A3-122838F18228}" uniqueName="3" name="Department" queryTableFieldId="3" dataDxfId="4"/>
    <tableColumn id="4" xr3:uid="{2F6B7E82-315D-4AFF-8E0B-4BCEB2127ED2}" uniqueName="4" name="Job_Title" queryTableFieldId="4" dataDxfId="3"/>
    <tableColumn id="5" xr3:uid="{FCDF1980-5869-4F1A-BFD0-7373C250D4EA}" uniqueName="5" name="Hire_Date" queryTableFieldId="5"/>
    <tableColumn id="6" xr3:uid="{6B336BE6-6E55-4360-8B5A-836CE8224520}" uniqueName="6" name="Base_Salary_USD" queryTableFieldId="6"/>
    <tableColumn id="7" xr3:uid="{AB48347C-8E23-45F2-8D6F-3099B99542D3}" uniqueName="7" name="Performance_Rating" queryTableFieldId="7"/>
    <tableColumn id="8" xr3:uid="{30160EEA-1050-429E-B68A-B6D89551EF87}" uniqueName="8" name="Pay Grade" queryTableFieldId="8" dataDxfId="2">
      <calculatedColumnFormula>_xlfn.XLOOKUP(D2, job_mapping!$A$2:$A$9, job_mapping!$B$2:$B$9, "Not Found")</calculatedColumnFormula>
    </tableColumn>
    <tableColumn id="9" xr3:uid="{1FECFAA9-A149-40DB-A923-7610249251CB}" uniqueName="9" name="Market Median" queryTableFieldId="9" dataDxfId="1">
      <calculatedColumnFormula>_xlfn.XLOOKUP(H2, market_bands!$A$2:$A$5, market_bands!$C$2:$C$5, "Error")</calculatedColumnFormula>
    </tableColumn>
    <tableColumn id="10" xr3:uid="{DBD18534-34CA-453D-AC8A-DD2A76134F77}" uniqueName="10" name="Compa-Ratio" queryTableFieldId="10" dataDxfId="0">
      <calculatedColumnFormula>Sheet1[[#This Row],[Base_Salary_USD]]/Sheet1[[#This Row],[Market Median]]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9F25-3B20-49A7-A9A1-2103E8CC0E71}">
  <dimension ref="A1:L11"/>
  <sheetViews>
    <sheetView tabSelected="1" workbookViewId="0">
      <selection activeCell="G15" sqref="G15"/>
    </sheetView>
  </sheetViews>
  <sheetFormatPr defaultRowHeight="14.4" x14ac:dyDescent="0.3"/>
  <cols>
    <col min="1" max="2" width="14" bestFit="1" customWidth="1"/>
    <col min="3" max="3" width="13.21875" bestFit="1" customWidth="1"/>
    <col min="4" max="4" width="21.109375" bestFit="1" customWidth="1"/>
    <col min="5" max="5" width="11.44140625" bestFit="1" customWidth="1"/>
    <col min="6" max="6" width="17.6640625" bestFit="1" customWidth="1"/>
    <col min="7" max="7" width="20.109375" bestFit="1" customWidth="1"/>
    <col min="11" max="11" width="18.109375" bestFit="1" customWidth="1"/>
    <col min="12" max="12" width="10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53</v>
      </c>
      <c r="I1" t="s">
        <v>54</v>
      </c>
      <c r="J1" t="s">
        <v>55</v>
      </c>
      <c r="K1" t="s">
        <v>56</v>
      </c>
      <c r="L1" s="11">
        <v>0.03</v>
      </c>
    </row>
    <row r="2" spans="1:12" x14ac:dyDescent="0.3">
      <c r="A2" t="s">
        <v>7</v>
      </c>
      <c r="B2" t="s">
        <v>8</v>
      </c>
      <c r="C2" t="s">
        <v>9</v>
      </c>
      <c r="D2" s="1" t="s">
        <v>10</v>
      </c>
      <c r="E2" t="s">
        <v>11</v>
      </c>
      <c r="F2">
        <v>135000</v>
      </c>
      <c r="G2">
        <v>4</v>
      </c>
      <c r="H2" t="str">
        <f>_xlfn.XLOOKUP(D2, job_mapping!$A$2:$A$9, job_mapping!$B$2:$B$9, "Not Found")</f>
        <v>G3</v>
      </c>
      <c r="I2">
        <f>_xlfn.XLOOKUP(H2, market_bands!$A$2:$A$5, market_bands!$C$2:$C$5, "Error")</f>
        <v>130000</v>
      </c>
      <c r="J2" s="10">
        <f>Sheet1[[#This Row],[Base_Salary_USD]]/Sheet1[[#This Row],[Market Median]]</f>
        <v>1.0384615384615385</v>
      </c>
      <c r="K2" t="s">
        <v>57</v>
      </c>
      <c r="L2">
        <f>SUM(Sheet1[Base_Salary_USD])</f>
        <v>1069000</v>
      </c>
    </row>
    <row r="3" spans="1:12" x14ac:dyDescent="0.3">
      <c r="A3" t="s">
        <v>12</v>
      </c>
      <c r="B3" t="s">
        <v>13</v>
      </c>
      <c r="C3" t="s">
        <v>14</v>
      </c>
      <c r="D3" s="1" t="s">
        <v>42</v>
      </c>
      <c r="E3">
        <v>44567</v>
      </c>
      <c r="F3">
        <v>82000</v>
      </c>
      <c r="G3">
        <v>3</v>
      </c>
      <c r="H3" t="str">
        <f>_xlfn.XLOOKUP(D3, job_mapping!$A$2:$A$9, job_mapping!$B$2:$B$9, "Not Found")</f>
        <v>G2</v>
      </c>
      <c r="I3">
        <f>_xlfn.XLOOKUP(H3, market_bands!$A$2:$A$5, market_bands!$C$2:$C$5, "Error")</f>
        <v>90000</v>
      </c>
      <c r="J3" s="10">
        <f>Sheet1[[#This Row],[Base_Salary_USD]]/Sheet1[[#This Row],[Market Median]]</f>
        <v>0.91111111111111109</v>
      </c>
      <c r="K3" t="s">
        <v>58</v>
      </c>
      <c r="L3">
        <f>L2*(1+L1)</f>
        <v>1101070</v>
      </c>
    </row>
    <row r="4" spans="1:12" x14ac:dyDescent="0.3">
      <c r="A4" t="s">
        <v>15</v>
      </c>
      <c r="B4" t="s">
        <v>16</v>
      </c>
      <c r="C4" t="s">
        <v>17</v>
      </c>
      <c r="D4" s="1" t="s">
        <v>43</v>
      </c>
      <c r="E4">
        <v>45200</v>
      </c>
      <c r="F4">
        <v>58000</v>
      </c>
      <c r="G4">
        <v>5</v>
      </c>
      <c r="H4" t="str">
        <f>_xlfn.XLOOKUP(D4, job_mapping!$A$2:$A$9, job_mapping!$B$2:$B$9, "Not Found")</f>
        <v>G1</v>
      </c>
      <c r="I4">
        <f>_xlfn.XLOOKUP(H4, market_bands!$A$2:$A$5, market_bands!$C$2:$C$5, "Error")</f>
        <v>65000</v>
      </c>
      <c r="J4" s="10">
        <f>Sheet1[[#This Row],[Base_Salary_USD]]/Sheet1[[#This Row],[Market Median]]</f>
        <v>0.89230769230769236</v>
      </c>
      <c r="K4" t="s">
        <v>59</v>
      </c>
      <c r="L4">
        <f>L3-L2</f>
        <v>32070</v>
      </c>
    </row>
    <row r="5" spans="1:12" x14ac:dyDescent="0.3">
      <c r="A5" t="s">
        <v>18</v>
      </c>
      <c r="B5" t="s">
        <v>19</v>
      </c>
      <c r="C5" t="s">
        <v>9</v>
      </c>
      <c r="D5" s="1" t="s">
        <v>20</v>
      </c>
      <c r="E5" t="s">
        <v>21</v>
      </c>
      <c r="F5">
        <v>91000</v>
      </c>
      <c r="G5">
        <v>3</v>
      </c>
      <c r="H5" t="str">
        <f>_xlfn.XLOOKUP(D5, job_mapping!$A$2:$A$9, job_mapping!$B$2:$B$9, "Not Found")</f>
        <v>G2</v>
      </c>
      <c r="I5">
        <f>_xlfn.XLOOKUP(H5, market_bands!$A$2:$A$5, market_bands!$C$2:$C$5, "Error")</f>
        <v>90000</v>
      </c>
      <c r="J5" s="10">
        <f>Sheet1[[#This Row],[Base_Salary_USD]]/Sheet1[[#This Row],[Market Median]]</f>
        <v>1.0111111111111111</v>
      </c>
    </row>
    <row r="6" spans="1:12" x14ac:dyDescent="0.3">
      <c r="A6" t="s">
        <v>22</v>
      </c>
      <c r="B6" t="s">
        <v>23</v>
      </c>
      <c r="C6" t="s">
        <v>24</v>
      </c>
      <c r="D6" s="1" t="s">
        <v>25</v>
      </c>
      <c r="E6" t="s">
        <v>26</v>
      </c>
      <c r="F6">
        <v>142000</v>
      </c>
      <c r="G6">
        <v>4</v>
      </c>
      <c r="H6" t="str">
        <f>_xlfn.XLOOKUP(D6, job_mapping!$A$2:$A$9, job_mapping!$B$2:$B$9, "Not Found")</f>
        <v>G3</v>
      </c>
      <c r="I6">
        <f>_xlfn.XLOOKUP(H6, market_bands!$A$2:$A$5, market_bands!$C$2:$C$5, "Error")</f>
        <v>130000</v>
      </c>
      <c r="J6" s="10">
        <f>Sheet1[[#This Row],[Base_Salary_USD]]/Sheet1[[#This Row],[Market Median]]</f>
        <v>1.0923076923076922</v>
      </c>
      <c r="K6" s="12"/>
      <c r="L6" s="13">
        <f>L4</f>
        <v>32070</v>
      </c>
    </row>
    <row r="7" spans="1:12" x14ac:dyDescent="0.3">
      <c r="A7" t="s">
        <v>27</v>
      </c>
      <c r="B7" t="s">
        <v>28</v>
      </c>
      <c r="C7" t="s">
        <v>14</v>
      </c>
      <c r="D7" s="1" t="s">
        <v>29</v>
      </c>
      <c r="E7">
        <v>43596</v>
      </c>
      <c r="F7">
        <v>195000</v>
      </c>
      <c r="G7">
        <v>5</v>
      </c>
      <c r="H7" t="str">
        <f>_xlfn.XLOOKUP(D7, job_mapping!$A$2:$A$9, job_mapping!$B$2:$B$9, "Not Found")</f>
        <v>G4</v>
      </c>
      <c r="I7">
        <f>_xlfn.XLOOKUP(H7, market_bands!$A$2:$A$5, market_bands!$C$2:$C$5, "Error")</f>
        <v>190000</v>
      </c>
      <c r="J7" s="10">
        <f>Sheet1[[#This Row],[Base_Salary_USD]]/Sheet1[[#This Row],[Market Median]]</f>
        <v>1.0263157894736843</v>
      </c>
      <c r="K7" s="14">
        <v>0.02</v>
      </c>
      <c r="L7" s="13">
        <f t="dataTable" ref="L7:L10" dt2D="0" dtr="0" r1="L1"/>
        <v>21380</v>
      </c>
    </row>
    <row r="8" spans="1:12" x14ac:dyDescent="0.3">
      <c r="A8" t="s">
        <v>30</v>
      </c>
      <c r="B8" t="s">
        <v>31</v>
      </c>
      <c r="C8" t="s">
        <v>9</v>
      </c>
      <c r="D8" s="1" t="s">
        <v>20</v>
      </c>
      <c r="E8">
        <v>45294</v>
      </c>
      <c r="F8">
        <v>88000</v>
      </c>
      <c r="G8">
        <v>3</v>
      </c>
      <c r="H8" t="str">
        <f>_xlfn.XLOOKUP(D8, job_mapping!$A$2:$A$9, job_mapping!$B$2:$B$9, "Not Found")</f>
        <v>G2</v>
      </c>
      <c r="I8">
        <f>_xlfn.XLOOKUP(H8, market_bands!$A$2:$A$5, market_bands!$C$2:$C$5, "Error")</f>
        <v>90000</v>
      </c>
      <c r="J8" s="10">
        <f>Sheet1[[#This Row],[Base_Salary_USD]]/Sheet1[[#This Row],[Market Median]]</f>
        <v>0.97777777777777775</v>
      </c>
      <c r="K8" s="14">
        <v>0.03</v>
      </c>
      <c r="L8" s="13">
        <v>32070</v>
      </c>
    </row>
    <row r="9" spans="1:12" x14ac:dyDescent="0.3">
      <c r="A9" t="s">
        <v>32</v>
      </c>
      <c r="B9" t="s">
        <v>33</v>
      </c>
      <c r="C9" t="s">
        <v>17</v>
      </c>
      <c r="D9" s="1" t="s">
        <v>34</v>
      </c>
      <c r="E9" t="s">
        <v>35</v>
      </c>
      <c r="F9">
        <v>128000</v>
      </c>
      <c r="G9">
        <v>3</v>
      </c>
      <c r="H9" t="str">
        <f>_xlfn.XLOOKUP(D9, job_mapping!$A$2:$A$9, job_mapping!$B$2:$B$9, "Not Found")</f>
        <v>G3</v>
      </c>
      <c r="I9">
        <f>_xlfn.XLOOKUP(H9, market_bands!$A$2:$A$5, market_bands!$C$2:$C$5, "Error")</f>
        <v>130000</v>
      </c>
      <c r="J9" s="10">
        <f>Sheet1[[#This Row],[Base_Salary_USD]]/Sheet1[[#This Row],[Market Median]]</f>
        <v>0.98461538461538467</v>
      </c>
      <c r="K9" s="14">
        <v>0.04</v>
      </c>
      <c r="L9" s="13">
        <v>42760</v>
      </c>
    </row>
    <row r="10" spans="1:12" x14ac:dyDescent="0.3">
      <c r="A10" t="s">
        <v>36</v>
      </c>
      <c r="B10" t="s">
        <v>37</v>
      </c>
      <c r="C10" t="s">
        <v>24</v>
      </c>
      <c r="D10" s="1" t="s">
        <v>38</v>
      </c>
      <c r="E10" t="s">
        <v>39</v>
      </c>
      <c r="F10">
        <v>71000</v>
      </c>
      <c r="G10">
        <v>4</v>
      </c>
      <c r="H10" t="str">
        <f>_xlfn.XLOOKUP(D10, job_mapping!$A$2:$A$9, job_mapping!$B$2:$B$9, "Not Found")</f>
        <v>G1</v>
      </c>
      <c r="I10">
        <f>_xlfn.XLOOKUP(H10, market_bands!$A$2:$A$5, market_bands!$C$2:$C$5, "Error")</f>
        <v>65000</v>
      </c>
      <c r="J10" s="10">
        <f>Sheet1[[#This Row],[Base_Salary_USD]]/Sheet1[[#This Row],[Market Median]]</f>
        <v>1.0923076923076922</v>
      </c>
      <c r="K10" s="14">
        <v>0.05</v>
      </c>
      <c r="L10" s="13">
        <v>53450</v>
      </c>
    </row>
    <row r="11" spans="1:12" x14ac:dyDescent="0.3">
      <c r="A11" t="s">
        <v>40</v>
      </c>
      <c r="B11" t="s">
        <v>41</v>
      </c>
      <c r="C11" t="s">
        <v>14</v>
      </c>
      <c r="D11" s="1" t="s">
        <v>42</v>
      </c>
      <c r="E11">
        <v>45264</v>
      </c>
      <c r="F11">
        <v>79000</v>
      </c>
      <c r="G11">
        <v>2</v>
      </c>
      <c r="H11" t="str">
        <f>_xlfn.XLOOKUP(D11, job_mapping!$A$2:$A$9, job_mapping!$B$2:$B$9, "Not Found")</f>
        <v>G2</v>
      </c>
      <c r="I11">
        <f>_xlfn.XLOOKUP(H11, market_bands!$A$2:$A$5, market_bands!$C$2:$C$5, "Error")</f>
        <v>90000</v>
      </c>
      <c r="J11" s="10">
        <f>Sheet1[[#This Row],[Base_Salary_USD]]/Sheet1[[#This Row],[Market Median]]</f>
        <v>0.87777777777777777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E49B-034B-46A0-ADAC-92F1848E0500}">
  <dimension ref="A1:B9"/>
  <sheetViews>
    <sheetView workbookViewId="0">
      <selection activeCell="B4" sqref="B4"/>
    </sheetView>
  </sheetViews>
  <sheetFormatPr defaultRowHeight="14.4" x14ac:dyDescent="0.3"/>
  <cols>
    <col min="1" max="1" width="24.109375" bestFit="1" customWidth="1"/>
    <col min="2" max="2" width="11.6640625" bestFit="1" customWidth="1"/>
  </cols>
  <sheetData>
    <row r="1" spans="1:2" ht="15" thickBot="1" x14ac:dyDescent="0.35">
      <c r="A1" s="5" t="s">
        <v>49</v>
      </c>
      <c r="B1" s="4" t="s">
        <v>48</v>
      </c>
    </row>
    <row r="2" spans="1:2" ht="15" thickBot="1" x14ac:dyDescent="0.35">
      <c r="A2" s="3" t="s">
        <v>43</v>
      </c>
      <c r="B2" s="2" t="s">
        <v>47</v>
      </c>
    </row>
    <row r="3" spans="1:2" ht="15" thickBot="1" x14ac:dyDescent="0.35">
      <c r="A3" s="3" t="s">
        <v>38</v>
      </c>
      <c r="B3" s="2" t="s">
        <v>47</v>
      </c>
    </row>
    <row r="4" spans="1:2" ht="15" thickBot="1" x14ac:dyDescent="0.35">
      <c r="A4" s="3" t="s">
        <v>42</v>
      </c>
      <c r="B4" s="2" t="s">
        <v>46</v>
      </c>
    </row>
    <row r="5" spans="1:2" ht="15" thickBot="1" x14ac:dyDescent="0.35">
      <c r="A5" s="3" t="s">
        <v>20</v>
      </c>
      <c r="B5" s="2" t="s">
        <v>46</v>
      </c>
    </row>
    <row r="6" spans="1:2" ht="15" thickBot="1" x14ac:dyDescent="0.35">
      <c r="A6" s="3" t="s">
        <v>25</v>
      </c>
      <c r="B6" s="2" t="s">
        <v>45</v>
      </c>
    </row>
    <row r="7" spans="1:2" ht="15" thickBot="1" x14ac:dyDescent="0.35">
      <c r="A7" s="3" t="s">
        <v>10</v>
      </c>
      <c r="B7" s="2" t="s">
        <v>45</v>
      </c>
    </row>
    <row r="8" spans="1:2" ht="15" thickBot="1" x14ac:dyDescent="0.35">
      <c r="A8" s="3" t="s">
        <v>34</v>
      </c>
      <c r="B8" s="2" t="s">
        <v>45</v>
      </c>
    </row>
    <row r="9" spans="1:2" ht="15" thickBot="1" x14ac:dyDescent="0.35">
      <c r="A9" s="3" t="s">
        <v>29</v>
      </c>
      <c r="B9" s="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33F5-B814-47D0-8D66-49A56D50D7FE}">
  <dimension ref="A1:D5"/>
  <sheetViews>
    <sheetView workbookViewId="0">
      <selection activeCell="B16" sqref="B16"/>
    </sheetView>
  </sheetViews>
  <sheetFormatPr defaultColWidth="21.21875" defaultRowHeight="14.4" x14ac:dyDescent="0.3"/>
  <cols>
    <col min="1" max="1" width="12.6640625" bestFit="1" customWidth="1"/>
    <col min="2" max="2" width="17.33203125" bestFit="1" customWidth="1"/>
    <col min="3" max="4" width="16.77734375" bestFit="1" customWidth="1"/>
  </cols>
  <sheetData>
    <row r="1" spans="1:4" ht="15" thickBot="1" x14ac:dyDescent="0.35">
      <c r="A1" s="9" t="s">
        <v>48</v>
      </c>
      <c r="B1" s="9" t="s">
        <v>52</v>
      </c>
      <c r="C1" s="9" t="s">
        <v>51</v>
      </c>
      <c r="D1" s="8" t="s">
        <v>50</v>
      </c>
    </row>
    <row r="2" spans="1:4" ht="15" thickBot="1" x14ac:dyDescent="0.35">
      <c r="A2" s="7" t="s">
        <v>47</v>
      </c>
      <c r="B2" s="7">
        <v>55000</v>
      </c>
      <c r="C2" s="7">
        <v>65000</v>
      </c>
      <c r="D2" s="6">
        <v>75000</v>
      </c>
    </row>
    <row r="3" spans="1:4" ht="15" thickBot="1" x14ac:dyDescent="0.35">
      <c r="A3" s="7" t="s">
        <v>46</v>
      </c>
      <c r="B3" s="7">
        <v>75000</v>
      </c>
      <c r="C3" s="7">
        <v>90000</v>
      </c>
      <c r="D3" s="6">
        <v>105000</v>
      </c>
    </row>
    <row r="4" spans="1:4" ht="15" thickBot="1" x14ac:dyDescent="0.35">
      <c r="A4" s="7" t="s">
        <v>45</v>
      </c>
      <c r="B4" s="7">
        <v>110000</v>
      </c>
      <c r="C4" s="7">
        <v>130000</v>
      </c>
      <c r="D4" s="6">
        <v>150000</v>
      </c>
    </row>
    <row r="5" spans="1:4" ht="15" thickBot="1" x14ac:dyDescent="0.35">
      <c r="A5" s="7" t="s">
        <v>44</v>
      </c>
      <c r="B5" s="7">
        <v>160000</v>
      </c>
      <c r="C5" s="7">
        <v>190000</v>
      </c>
      <c r="D5" s="6">
        <v>220000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FB718B-2896-4AF8-A3A4-167E65A6C8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employees_raw</vt:lpstr>
      <vt:lpstr>job_mapping</vt:lpstr>
      <vt:lpstr>market_bands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Afwan</dc:creator>
  <cp:lastModifiedBy>Mohammed Afwan</cp:lastModifiedBy>
  <dcterms:created xsi:type="dcterms:W3CDTF">2026-04-04T14:07:44Z</dcterms:created>
  <dcterms:modified xsi:type="dcterms:W3CDTF">2026-04-05T17:42:15Z</dcterms:modified>
</cp:coreProperties>
</file>